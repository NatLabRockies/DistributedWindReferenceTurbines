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RD_ENGINEERING\PROJECTS\WE202302_dWAM\RWT-15\ANALYSIS\RESULTS\DLC6.1\"/>
    </mc:Choice>
  </mc:AlternateContent>
  <xr:revisionPtr revIDLastSave="0" documentId="13_ncr:1_{4CA13FBB-1783-4827-8EEC-DB4271D283B0}" xr6:coauthVersionLast="47" xr6:coauthVersionMax="47" xr10:uidLastSave="{00000000-0000-0000-0000-000000000000}"/>
  <bookViews>
    <workbookView xWindow="6210" yWindow="900" windowWidth="26040" windowHeight="16665" xr2:uid="{00000000-000D-0000-FFFF-FFFF00000000}"/>
  </bookViews>
  <sheets>
    <sheet name="Sheet1" sheetId="1" r:id="rId1"/>
  </sheets>
  <definedNames>
    <definedName name="spd_trq" localSheetId="0">Sheet1!$A$4:$B$26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E49" i="1"/>
  <c r="D47" i="1"/>
  <c r="E47" i="1"/>
  <c r="D48" i="1"/>
  <c r="E48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E27" i="1"/>
  <c r="D27" i="1"/>
  <c r="D5" i="1" a="1"/>
  <c r="D5" i="1" s="1"/>
  <c r="E5" i="1" a="1"/>
  <c r="E5" i="1"/>
  <c r="D6" i="1" a="1"/>
  <c r="D6" i="1" s="1"/>
  <c r="E6" i="1" a="1"/>
  <c r="E6" i="1" s="1"/>
  <c r="D7" i="1" a="1"/>
  <c r="D7" i="1" s="1"/>
  <c r="E7" i="1" a="1"/>
  <c r="E7" i="1" s="1"/>
  <c r="D8" i="1" a="1"/>
  <c r="D8" i="1"/>
  <c r="E8" i="1" a="1"/>
  <c r="E8" i="1" s="1"/>
  <c r="D9" i="1" a="1"/>
  <c r="D9" i="1"/>
  <c r="E9" i="1" a="1"/>
  <c r="E9" i="1" s="1"/>
  <c r="D10" i="1" a="1"/>
  <c r="D10" i="1" s="1"/>
  <c r="E10" i="1" a="1"/>
  <c r="E10" i="1" s="1"/>
  <c r="D11" i="1" a="1"/>
  <c r="D11" i="1"/>
  <c r="E11" i="1" a="1"/>
  <c r="E11" i="1" s="1"/>
  <c r="D12" i="1" a="1"/>
  <c r="D12" i="1" s="1"/>
  <c r="E12" i="1" a="1"/>
  <c r="E12" i="1" s="1"/>
  <c r="D13" i="1" a="1"/>
  <c r="D13" i="1" s="1"/>
  <c r="E13" i="1" a="1"/>
  <c r="E13" i="1"/>
  <c r="D14" i="1" a="1"/>
  <c r="D14" i="1"/>
  <c r="E14" i="1" a="1"/>
  <c r="E14" i="1"/>
  <c r="D15" i="1" a="1"/>
  <c r="D15" i="1" s="1"/>
  <c r="E15" i="1" a="1"/>
  <c r="E15" i="1"/>
  <c r="D16" i="1" a="1"/>
  <c r="D16" i="1"/>
  <c r="E16" i="1" a="1"/>
  <c r="E16" i="1"/>
  <c r="D17" i="1" a="1"/>
  <c r="D17" i="1" s="1"/>
  <c r="E17" i="1" a="1"/>
  <c r="E17" i="1"/>
  <c r="D18" i="1" a="1"/>
  <c r="D18" i="1" s="1"/>
  <c r="E18" i="1" a="1"/>
  <c r="E18" i="1"/>
  <c r="D19" i="1" a="1"/>
  <c r="D19" i="1"/>
  <c r="E19" i="1" a="1"/>
  <c r="E19" i="1"/>
  <c r="D20" i="1" a="1"/>
  <c r="D20" i="1" s="1"/>
  <c r="E20" i="1" a="1"/>
  <c r="E20" i="1"/>
  <c r="D21" i="1" a="1"/>
  <c r="D21" i="1" s="1"/>
  <c r="E21" i="1" a="1"/>
  <c r="E21" i="1"/>
  <c r="D22" i="1" a="1"/>
  <c r="D22" i="1" s="1"/>
  <c r="E22" i="1" a="1"/>
  <c r="E22" i="1"/>
  <c r="D23" i="1" a="1"/>
  <c r="D23" i="1"/>
  <c r="E23" i="1" a="1"/>
  <c r="E23" i="1"/>
  <c r="D24" i="1" a="1"/>
  <c r="D24" i="1" s="1"/>
  <c r="E24" i="1" a="1"/>
  <c r="E24" i="1" s="1"/>
  <c r="D25" i="1" a="1"/>
  <c r="D25" i="1"/>
  <c r="E25" i="1" a="1"/>
  <c r="E25" i="1"/>
  <c r="D26" i="1" a="1"/>
  <c r="D26" i="1" s="1"/>
  <c r="E26" i="1" a="1"/>
  <c r="E26" i="1" s="1"/>
  <c r="E4" i="1" a="1"/>
  <c r="E4" i="1" s="1"/>
  <c r="D4" i="1" a="1"/>
  <c r="D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2C40A3-120A-495D-8254-B77E9E3BB924}" name="spd_trq" type="6" refreshedVersion="8" background="1" saveData="1">
    <textPr codePage="437" firstRow="2" sourceFile="D:\RRD_ENGINEERING\PROJECTS\WE202302_dWAM\RWT-15\ANALYSIS\RESULTS\DLC6.1\spd_trq.dat" space="1" consecutive="1">
      <textFields count="6"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<sst xmlns="http://schemas.openxmlformats.org/spreadsheetml/2006/main" count="6" uniqueCount="4">
  <si>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RPM</t>
  </si>
  <si>
    <t>kNm</t>
  </si>
  <si>
    <t>Original</t>
  </si>
  <si>
    <t>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</si>
</sst>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pd_trq" connectionId="1" xr16:uid="{802801B2-FCE0-4DA3-AE31-D004777F8AC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D32" sqref="D32"/>
    </sheetView>
  </sheetViews>
  <sheetFormatPr defaultRowHeight="15" x14ac:dyDescent="0.25"/>
  <cols>
    <col min="1" max="1" width="6" bestFit="1" customWidth="1"/>
    <col min="2" max="2" width="7" bestFit="1" customWidth="1"/>
  </cols>
  <sheetData>
    <row r="1" spans="1:5" x14ac:dyDescent="0.25">
      <c r="A1" t="s">
        <v>2</v>
      </c>
      <c r="D1" t="s">
        <v>3</v>
      </c>
    </row>
    <row r="3" spans="1:5" x14ac:dyDescent="0.25">
      <c r="A3" t="s">
        <v>0</v>
      </c>
      <c r="B3" t="s">
        <v>1</v>
      </c>
      <c r="D3" t="s">
        <v>0</v>
      </c>
      <c r="E3" t="s">
        <v>1</v>
      </c>
    </row>
    <row r="4" spans="1:5" x14ac:dyDescent="0.25">
      <c r="A4">
        <v>0</v>
      </c>
      <c r="B4">
        <v>0</v>
      </c>
      <c r="D4" cm="1">
        <f t="array" ref="D4">-INDEX($A$4:$A$26,ROWS(A4:$A$26))</f>
        <v>-152.1</v>
      </c>
      <c r="E4" cm="1">
        <f t="array" ref="E4">-INDEX($B$4:$B$26,ROWS($B4:B$26))</f>
        <v>-4873.2</v>
      </c>
    </row>
    <row r="5" spans="1:5" x14ac:dyDescent="0.25">
      <c r="A5">
        <v>30</v>
      </c>
      <c r="B5">
        <v>0</v>
      </c>
      <c r="D5" cm="1">
        <f t="array" ref="D5">-INDEX($A$4:$A$26,ROWS(A5:$A$26))</f>
        <v>-151.9</v>
      </c>
      <c r="E5" cm="1">
        <f t="array" ref="E5">-INDEX($B$4:$B$26,ROWS($B5:B$26))</f>
        <v>-2230.6999999999998</v>
      </c>
    </row>
    <row r="6" spans="1:5" x14ac:dyDescent="0.25">
      <c r="A6">
        <v>60</v>
      </c>
      <c r="B6">
        <v>0</v>
      </c>
      <c r="D6" cm="1">
        <f t="array" ref="D6">-INDEX($A$4:$A$26,ROWS(A6:$A$26))</f>
        <v>-151.5</v>
      </c>
      <c r="E6" cm="1">
        <f t="array" ref="E6">-INDEX($B$4:$B$26,ROWS($B6:B$26))</f>
        <v>-2264.5</v>
      </c>
    </row>
    <row r="7" spans="1:5" x14ac:dyDescent="0.25">
      <c r="A7">
        <v>62.6</v>
      </c>
      <c r="B7">
        <v>130.5</v>
      </c>
      <c r="D7" cm="1">
        <f t="array" ref="D7">-INDEX($A$4:$A$26,ROWS(A7:$A$26))</f>
        <v>-151.1</v>
      </c>
      <c r="E7" cm="1">
        <f t="array" ref="E7">-INDEX($B$4:$B$26,ROWS($B7:B$26))</f>
        <v>-2242.4</v>
      </c>
    </row>
    <row r="8" spans="1:5" x14ac:dyDescent="0.25">
      <c r="A8">
        <v>71.599999999999994</v>
      </c>
      <c r="B8">
        <v>170.4</v>
      </c>
      <c r="D8" cm="1">
        <f t="array" ref="D8">-INDEX($A$4:$A$26,ROWS(A8:$A$26))</f>
        <v>-150.80000000000001</v>
      </c>
      <c r="E8" cm="1">
        <f t="array" ref="E8">-INDEX($B$4:$B$26,ROWS($B8:B$26))</f>
        <v>-2184.1999999999998</v>
      </c>
    </row>
    <row r="9" spans="1:5" x14ac:dyDescent="0.25">
      <c r="A9">
        <v>80.5</v>
      </c>
      <c r="B9">
        <v>215.7</v>
      </c>
      <c r="D9" cm="1">
        <f t="array" ref="D9">-INDEX($A$4:$A$26,ROWS(A9:$A$26))</f>
        <v>-150.6</v>
      </c>
      <c r="E9" cm="1">
        <f t="array" ref="E9">-INDEX($B$4:$B$26,ROWS($B9:B$26))</f>
        <v>-2084.9</v>
      </c>
    </row>
    <row r="10" spans="1:5" x14ac:dyDescent="0.25">
      <c r="A10">
        <v>89.5</v>
      </c>
      <c r="B10">
        <v>266.3</v>
      </c>
      <c r="D10" cm="1">
        <f t="array" ref="D10">-INDEX($A$4:$A$26,ROWS(A10:$A$26))</f>
        <v>-150.1</v>
      </c>
      <c r="E10" cm="1">
        <f t="array" ref="E10">-INDEX($B$4:$B$26,ROWS($B10:B$26))</f>
        <v>-1743</v>
      </c>
    </row>
    <row r="11" spans="1:5" x14ac:dyDescent="0.25">
      <c r="A11">
        <v>98.4</v>
      </c>
      <c r="B11">
        <v>322.2</v>
      </c>
      <c r="D11" cm="1">
        <f t="array" ref="D11">-INDEX($A$4:$A$26,ROWS(A11:$A$26))</f>
        <v>-149.9</v>
      </c>
      <c r="E11" cm="1">
        <f t="array" ref="E11">-INDEX($B$4:$B$26,ROWS($B11:B$26))</f>
        <v>-1441</v>
      </c>
    </row>
    <row r="12" spans="1:5" x14ac:dyDescent="0.25">
      <c r="A12">
        <v>107.4</v>
      </c>
      <c r="B12">
        <v>383.5</v>
      </c>
      <c r="D12" cm="1">
        <f t="array" ref="D12">-INDEX($A$4:$A$26,ROWS(A12:$A$26))</f>
        <v>-149.1</v>
      </c>
      <c r="E12" cm="1">
        <f t="array" ref="E12">-INDEX($B$4:$B$26,ROWS($B12:B$26))</f>
        <v>-1323.8</v>
      </c>
    </row>
    <row r="13" spans="1:5" x14ac:dyDescent="0.25">
      <c r="A13">
        <v>116.3</v>
      </c>
      <c r="B13">
        <v>450</v>
      </c>
      <c r="D13" cm="1">
        <f t="array" ref="D13">-INDEX($A$4:$A$26,ROWS(A13:$A$26))</f>
        <v>-148.80000000000001</v>
      </c>
      <c r="E13" cm="1">
        <f t="array" ref="E13">-INDEX($B$4:$B$26,ROWS($B13:B$26))</f>
        <v>-1139.2</v>
      </c>
    </row>
    <row r="14" spans="1:5" x14ac:dyDescent="0.25">
      <c r="A14">
        <v>125.3</v>
      </c>
      <c r="B14">
        <v>521.9</v>
      </c>
      <c r="D14" cm="1">
        <f t="array" ref="D14">-INDEX($A$4:$A$26,ROWS(A14:$A$26))</f>
        <v>-148.6</v>
      </c>
      <c r="E14" cm="1">
        <f t="array" ref="E14">-INDEX($B$4:$B$26,ROWS($B14:B$26))</f>
        <v>-914.7</v>
      </c>
    </row>
    <row r="15" spans="1:5" x14ac:dyDescent="0.25">
      <c r="A15">
        <v>143.19999999999999</v>
      </c>
      <c r="B15">
        <v>681.7</v>
      </c>
      <c r="D15" cm="1">
        <f t="array" ref="D15">-INDEX($A$4:$A$26,ROWS(A15:$A$26))</f>
        <v>-143.19999999999999</v>
      </c>
      <c r="E15" cm="1">
        <f t="array" ref="E15">-INDEX($B$4:$B$26,ROWS($B15:B$26))</f>
        <v>-681.7</v>
      </c>
    </row>
    <row r="16" spans="1:5" x14ac:dyDescent="0.25">
      <c r="A16">
        <v>148.6</v>
      </c>
      <c r="B16">
        <v>914.7</v>
      </c>
      <c r="D16" cm="1">
        <f t="array" ref="D16">-INDEX($A$4:$A$26,ROWS(A16:$A$26))</f>
        <v>-125.3</v>
      </c>
      <c r="E16" cm="1">
        <f t="array" ref="E16">-INDEX($B$4:$B$26,ROWS($B16:B$26))</f>
        <v>-521.9</v>
      </c>
    </row>
    <row r="17" spans="1:5" x14ac:dyDescent="0.25">
      <c r="A17">
        <v>148.80000000000001</v>
      </c>
      <c r="B17">
        <v>1139.2</v>
      </c>
      <c r="D17" cm="1">
        <f t="array" ref="D17">-INDEX($A$4:$A$26,ROWS(A17:$A$26))</f>
        <v>-116.3</v>
      </c>
      <c r="E17" cm="1">
        <f t="array" ref="E17">-INDEX($B$4:$B$26,ROWS($B17:B$26))</f>
        <v>-450</v>
      </c>
    </row>
    <row r="18" spans="1:5" x14ac:dyDescent="0.25">
      <c r="A18">
        <v>149.1</v>
      </c>
      <c r="B18">
        <v>1323.8</v>
      </c>
      <c r="D18" cm="1">
        <f t="array" ref="D18">-INDEX($A$4:$A$26,ROWS(A18:$A$26))</f>
        <v>-107.4</v>
      </c>
      <c r="E18" cm="1">
        <f t="array" ref="E18">-INDEX($B$4:$B$26,ROWS($B18:B$26))</f>
        <v>-383.5</v>
      </c>
    </row>
    <row r="19" spans="1:5" x14ac:dyDescent="0.25">
      <c r="A19">
        <v>149.9</v>
      </c>
      <c r="B19">
        <v>1441</v>
      </c>
      <c r="D19" cm="1">
        <f t="array" ref="D19">-INDEX($A$4:$A$26,ROWS(A19:$A$26))</f>
        <v>-98.4</v>
      </c>
      <c r="E19" cm="1">
        <f t="array" ref="E19">-INDEX($B$4:$B$26,ROWS($B19:B$26))</f>
        <v>-322.2</v>
      </c>
    </row>
    <row r="20" spans="1:5" x14ac:dyDescent="0.25">
      <c r="A20">
        <v>150.1</v>
      </c>
      <c r="B20">
        <v>1743</v>
      </c>
      <c r="D20" cm="1">
        <f t="array" ref="D20">-INDEX($A$4:$A$26,ROWS(A20:$A$26))</f>
        <v>-89.5</v>
      </c>
      <c r="E20" cm="1">
        <f t="array" ref="E20">-INDEX($B$4:$B$26,ROWS($B20:B$26))</f>
        <v>-266.3</v>
      </c>
    </row>
    <row r="21" spans="1:5" x14ac:dyDescent="0.25">
      <c r="A21">
        <v>150.6</v>
      </c>
      <c r="B21">
        <v>2084.9</v>
      </c>
      <c r="D21" cm="1">
        <f t="array" ref="D21">-INDEX($A$4:$A$26,ROWS(A21:$A$26))</f>
        <v>-80.5</v>
      </c>
      <c r="E21" cm="1">
        <f t="array" ref="E21">-INDEX($B$4:$B$26,ROWS($B21:B$26))</f>
        <v>-215.7</v>
      </c>
    </row>
    <row r="22" spans="1:5" x14ac:dyDescent="0.25">
      <c r="A22">
        <v>150.80000000000001</v>
      </c>
      <c r="B22">
        <v>2184.1999999999998</v>
      </c>
      <c r="D22" cm="1">
        <f t="array" ref="D22">-INDEX($A$4:$A$26,ROWS(A22:$A$26))</f>
        <v>-71.599999999999994</v>
      </c>
      <c r="E22" cm="1">
        <f t="array" ref="E22">-INDEX($B$4:$B$26,ROWS($B22:B$26))</f>
        <v>-170.4</v>
      </c>
    </row>
    <row r="23" spans="1:5" x14ac:dyDescent="0.25">
      <c r="A23">
        <v>151.1</v>
      </c>
      <c r="B23">
        <v>2242.4</v>
      </c>
      <c r="D23" cm="1">
        <f t="array" ref="D23">-INDEX($A$4:$A$26,ROWS(A23:$A$26))</f>
        <v>-62.6</v>
      </c>
      <c r="E23" cm="1">
        <f t="array" ref="E23">-INDEX($B$4:$B$26,ROWS($B23:B$26))</f>
        <v>-130.5</v>
      </c>
    </row>
    <row r="24" spans="1:5" x14ac:dyDescent="0.25">
      <c r="A24">
        <v>151.5</v>
      </c>
      <c r="B24">
        <v>2264.5</v>
      </c>
      <c r="D24" cm="1">
        <f t="array" ref="D24">-INDEX($A$4:$A$26,ROWS(A24:$A$26))</f>
        <v>-60</v>
      </c>
      <c r="E24" cm="1">
        <f t="array" ref="E24">-INDEX($B$4:$B$26,ROWS($B24:B$26))</f>
        <v>0</v>
      </c>
    </row>
    <row r="25" spans="1:5" x14ac:dyDescent="0.25">
      <c r="A25">
        <v>151.9</v>
      </c>
      <c r="B25">
        <v>2230.6999999999998</v>
      </c>
      <c r="D25" cm="1">
        <f t="array" ref="D25">-INDEX($A$4:$A$26,ROWS(A25:$A$26))</f>
        <v>-30</v>
      </c>
      <c r="E25" cm="1">
        <f t="array" ref="E25">-INDEX($B$4:$B$26,ROWS($B25:B$26))</f>
        <v>0</v>
      </c>
    </row>
    <row r="26" spans="1:5" x14ac:dyDescent="0.25">
      <c r="A26">
        <v>152.1</v>
      </c>
      <c r="B26">
        <v>4873.2</v>
      </c>
      <c r="D26" cm="1">
        <f t="array" ref="D26">-INDEX($A$4:$A$26,ROWS(A26:$A$26))</f>
        <v>0</v>
      </c>
      <c r="E26" cm="1">
        <f t="array" ref="E26">-INDEX($B$4:$B$26,ROWS($B26:B$26))</f>
        <v>0</v>
      </c>
    </row>
    <row r="27" spans="1:5" x14ac:dyDescent="0.25">
      <c r="D27">
        <f>A4</f>
        <v>0</v>
      </c>
      <c r="E27">
        <f>B4</f>
        <v>0</v>
      </c>
    </row>
    <row r="28" spans="1:5" x14ac:dyDescent="0.25">
      <c r="D28">
        <f t="shared" ref="D28:E28" si="0">A5</f>
        <v>30</v>
      </c>
      <c r="E28">
        <f t="shared" si="0"/>
        <v>0</v>
      </c>
    </row>
    <row r="29" spans="1:5" x14ac:dyDescent="0.25">
      <c r="D29">
        <f t="shared" ref="D29:E29" si="1">A6</f>
        <v>60</v>
      </c>
      <c r="E29">
        <f t="shared" si="1"/>
        <v>0</v>
      </c>
    </row>
    <row r="30" spans="1:5" x14ac:dyDescent="0.25">
      <c r="D30">
        <f t="shared" ref="D30:E30" si="2">A7</f>
        <v>62.6</v>
      </c>
      <c r="E30">
        <f t="shared" si="2"/>
        <v>130.5</v>
      </c>
    </row>
    <row r="31" spans="1:5" x14ac:dyDescent="0.25">
      <c r="D31">
        <f t="shared" ref="D31:E31" si="3">A8</f>
        <v>71.599999999999994</v>
      </c>
      <c r="E31">
        <f t="shared" si="3"/>
        <v>170.4</v>
      </c>
    </row>
    <row r="32" spans="1:5" x14ac:dyDescent="0.25">
      <c r="D32">
        <f t="shared" ref="D32:E32" si="4">A9</f>
        <v>80.5</v>
      </c>
      <c r="E32">
        <f t="shared" si="4"/>
        <v>215.7</v>
      </c>
    </row>
    <row r="33" spans="4:5" x14ac:dyDescent="0.25">
      <c r="D33">
        <f t="shared" ref="D33:E33" si="5">A10</f>
        <v>89.5</v>
      </c>
      <c r="E33">
        <f t="shared" si="5"/>
        <v>266.3</v>
      </c>
    </row>
    <row r="34" spans="4:5" x14ac:dyDescent="0.25">
      <c r="D34">
        <f t="shared" ref="D34:E34" si="6">A11</f>
        <v>98.4</v>
      </c>
      <c r="E34">
        <f t="shared" si="6"/>
        <v>322.2</v>
      </c>
    </row>
    <row r="35" spans="4:5" x14ac:dyDescent="0.25">
      <c r="D35">
        <f t="shared" ref="D35:E35" si="7">A12</f>
        <v>107.4</v>
      </c>
      <c r="E35">
        <f t="shared" si="7"/>
        <v>383.5</v>
      </c>
    </row>
    <row r="36" spans="4:5" x14ac:dyDescent="0.25">
      <c r="D36">
        <f t="shared" ref="D36:E36" si="8">A13</f>
        <v>116.3</v>
      </c>
      <c r="E36">
        <f t="shared" si="8"/>
        <v>450</v>
      </c>
    </row>
    <row r="37" spans="4:5" x14ac:dyDescent="0.25">
      <c r="D37">
        <f t="shared" ref="D37:E37" si="9">A14</f>
        <v>125.3</v>
      </c>
      <c r="E37">
        <f t="shared" si="9"/>
        <v>521.9</v>
      </c>
    </row>
    <row r="38" spans="4:5" x14ac:dyDescent="0.25">
      <c r="D38">
        <f t="shared" ref="D38:E38" si="10">A15</f>
        <v>143.19999999999999</v>
      </c>
      <c r="E38">
        <f t="shared" si="10"/>
        <v>681.7</v>
      </c>
    </row>
    <row r="39" spans="4:5" x14ac:dyDescent="0.25">
      <c r="D39">
        <f t="shared" ref="D39:E39" si="11">A16</f>
        <v>148.6</v>
      </c>
      <c r="E39">
        <f t="shared" si="11"/>
        <v>914.7</v>
      </c>
    </row>
    <row r="40" spans="4:5" x14ac:dyDescent="0.25">
      <c r="D40">
        <f t="shared" ref="D40:E40" si="12">A17</f>
        <v>148.80000000000001</v>
      </c>
      <c r="E40">
        <f t="shared" si="12"/>
        <v>1139.2</v>
      </c>
    </row>
    <row r="41" spans="4:5" x14ac:dyDescent="0.25">
      <c r="D41">
        <f t="shared" ref="D41:E41" si="13">A18</f>
        <v>149.1</v>
      </c>
      <c r="E41">
        <f t="shared" si="13"/>
        <v>1323.8</v>
      </c>
    </row>
    <row r="42" spans="4:5" x14ac:dyDescent="0.25">
      <c r="D42">
        <f t="shared" ref="D42:E42" si="14">A19</f>
        <v>149.9</v>
      </c>
      <c r="E42">
        <f t="shared" si="14"/>
        <v>1441</v>
      </c>
    </row>
    <row r="43" spans="4:5" x14ac:dyDescent="0.25">
      <c r="D43">
        <f t="shared" ref="D43:E43" si="15">A20</f>
        <v>150.1</v>
      </c>
      <c r="E43">
        <f t="shared" si="15"/>
        <v>1743</v>
      </c>
    </row>
    <row r="44" spans="4:5" x14ac:dyDescent="0.25">
      <c r="D44">
        <f t="shared" ref="D44:E44" si="16">A21</f>
        <v>150.6</v>
      </c>
      <c r="E44">
        <f t="shared" si="16"/>
        <v>2084.9</v>
      </c>
    </row>
    <row r="45" spans="4:5" x14ac:dyDescent="0.25">
      <c r="D45">
        <f t="shared" ref="D45:E45" si="17">A22</f>
        <v>150.80000000000001</v>
      </c>
      <c r="E45">
        <f t="shared" si="17"/>
        <v>2184.1999999999998</v>
      </c>
    </row>
    <row r="46" spans="4:5" x14ac:dyDescent="0.25">
      <c r="D46">
        <f t="shared" ref="D46:E46" si="18">A23</f>
        <v>151.1</v>
      </c>
      <c r="E46">
        <f t="shared" si="18"/>
        <v>2242.4</v>
      </c>
    </row>
    <row r="47" spans="4:5" x14ac:dyDescent="0.25">
      <c r="D47">
        <f>A24</f>
        <v>151.5</v>
      </c>
      <c r="E47">
        <f>B24</f>
        <v>2264.5</v>
      </c>
    </row>
    <row r="48" spans="4:5" x14ac:dyDescent="0.25">
      <c r="D48">
        <f t="shared" ref="D48" si="19">A25</f>
        <v>151.9</v>
      </c>
      <c r="E48">
        <f t="shared" ref="E48" si="20">B25</f>
        <v>2230.6999999999998</v>
      </c>
    </row>
    <row r="49" spans="4:5" x14ac:dyDescent="0.25">
      <c r="D49">
        <f>A26</f>
        <v>152.1</v>
      </c>
      <c r="E49">
        <f>B26</f>
        <v>4873.2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Sheet1!spd_trq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rdamiani</dc:creator>
  <cp:lastModifiedBy>Rick Damiani</cp:lastModifiedBy>
  <dcterms:created xsi:type="dcterms:W3CDTF">2015-06-05T18:17:20Z</dcterms:created>
  <dcterms:modified xsi:type="dcterms:W3CDTF">2025-10-29T18:53:05Z</dcterms:modified>
</cp:coreProperties>
</file>